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" sheetId="1" r:id="rId5"/>
  </sheets>
  <definedNames/>
  <calcPr/>
</workbook>
</file>

<file path=xl/sharedStrings.xml><?xml version="1.0" encoding="utf-8"?>
<sst xmlns="http://schemas.openxmlformats.org/spreadsheetml/2006/main" count="139" uniqueCount="23">
  <si>
    <t>date</t>
  </si>
  <si>
    <t>islamic_month</t>
  </si>
  <si>
    <t>islamic_date</t>
  </si>
  <si>
    <t>islamic_year</t>
  </si>
  <si>
    <t>sehri_end</t>
  </si>
  <si>
    <t>fajr_start</t>
  </si>
  <si>
    <t>sunrise</t>
  </si>
  <si>
    <t>zohar_start</t>
  </si>
  <si>
    <t>asr_start</t>
  </si>
  <si>
    <t>maghrib_start</t>
  </si>
  <si>
    <t>isha_start</t>
  </si>
  <si>
    <t>fajr_jamat</t>
  </si>
  <si>
    <t>zohar_jamat</t>
  </si>
  <si>
    <t>jummah_1</t>
  </si>
  <si>
    <t>jummah_2</t>
  </si>
  <si>
    <t>asr_jamat</t>
  </si>
  <si>
    <t>maghrib_jamat</t>
  </si>
  <si>
    <t>isha_jamat</t>
  </si>
  <si>
    <t>Rajab</t>
  </si>
  <si>
    <t>12</t>
  </si>
  <si>
    <t>null</t>
  </si>
  <si>
    <t>Shabaan</t>
  </si>
  <si>
    <t>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</si>
</sst>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&quot;:&quot;mm&quot;:&quot;ss&quot;.&quot;000"/>
    <numFmt numFmtId="165" formatCode="yyyy&quot;-&quot;mm&quot;-&quot;dd"/>
  </numFmts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vertical="bottom"/>
    </xf>
    <xf borderId="0" fillId="0" fontId="2" numFmtId="165" xfId="0" applyAlignment="1" applyFont="1" applyNumberFormat="1">
      <alignment horizontal="center" readingOrder="0" vertical="bottom"/>
    </xf>
    <xf borderId="0" fillId="0" fontId="2" numFmtId="164" xfId="0" applyAlignment="1" applyFont="1" applyNumberFormat="1">
      <alignment horizontal="center" readingOrder="0" vertical="bottom"/>
    </xf>
    <xf borderId="0" fillId="0" fontId="2" numFmtId="49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center"/>
    </xf>
    <xf borderId="0" fillId="0" fontId="3" numFmtId="164" xfId="0" applyAlignment="1" applyFont="1" applyNumberFormat="1">
      <alignment horizontal="center" readingOrder="0" shrinkToFit="0" vertical="bottom" wrapText="0"/>
    </xf>
    <xf borderId="0" fillId="0" fontId="3" numFmtId="164" xfId="0" applyAlignment="1" applyFont="1" applyNumberFormat="1">
      <alignment horizontal="center" shrinkToFit="0" vertical="bottom" wrapText="0"/>
    </xf>
    <xf borderId="0" fillId="0" fontId="2" numFmtId="49" xfId="0" applyAlignment="1" applyFont="1" applyNumberFormat="1">
      <alignment horizontal="center" vertical="bottom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>
        <v>46023.0</v>
      </c>
      <c r="B2" s="3" t="s">
        <v>18</v>
      </c>
      <c r="C2" s="4" t="s">
        <v>19</v>
      </c>
      <c r="D2" s="5">
        <v>1447.0</v>
      </c>
      <c r="E2" s="6" t="s">
        <v>20</v>
      </c>
      <c r="F2" s="7">
        <v>0.2590277777777778</v>
      </c>
      <c r="G2" s="7">
        <v>0.35</v>
      </c>
      <c r="H2" s="7">
        <v>0.5111111111111111</v>
      </c>
      <c r="I2" s="7">
        <v>0.5909722222222222</v>
      </c>
      <c r="J2" s="7">
        <v>0.66875</v>
      </c>
      <c r="K2" s="7">
        <v>0.7416666666666667</v>
      </c>
      <c r="L2" s="7">
        <v>0.2916666666666667</v>
      </c>
      <c r="M2" s="8">
        <v>0.5625</v>
      </c>
      <c r="N2" s="6" t="s">
        <v>20</v>
      </c>
      <c r="O2" s="6" t="s">
        <v>20</v>
      </c>
      <c r="P2" s="7">
        <v>0.6041666666666666</v>
      </c>
      <c r="Q2" s="9">
        <f t="shared" ref="Q2:Q32" si="2">J2</f>
        <v>0.66875</v>
      </c>
      <c r="R2" s="7">
        <v>0.75</v>
      </c>
    </row>
    <row r="3">
      <c r="A3" s="2">
        <v>46024.0</v>
      </c>
      <c r="B3" s="3" t="s">
        <v>18</v>
      </c>
      <c r="C3" s="4">
        <f t="shared" ref="C3:C20" si="3">C2+1</f>
        <v>13</v>
      </c>
      <c r="D3" s="5">
        <v>1447.0</v>
      </c>
      <c r="E3" s="6" t="s">
        <v>20</v>
      </c>
      <c r="F3" s="7">
        <v>0.2590277777777778</v>
      </c>
      <c r="G3" s="7">
        <v>0.35</v>
      </c>
      <c r="H3" s="7">
        <v>0.5111111111111111</v>
      </c>
      <c r="I3" s="7">
        <v>0.5916666666666667</v>
      </c>
      <c r="J3" s="7">
        <v>0.6694444444444444</v>
      </c>
      <c r="K3" s="7">
        <v>0.7423611111111111</v>
      </c>
      <c r="L3" s="6">
        <f t="shared" ref="L3:M3" si="1">L2</f>
        <v>0.2916666667</v>
      </c>
      <c r="M3" s="9">
        <f t="shared" si="1"/>
        <v>0.5625</v>
      </c>
      <c r="N3" s="3">
        <v>0.5625</v>
      </c>
      <c r="O3" s="6" t="s">
        <v>20</v>
      </c>
      <c r="P3" s="6">
        <f>P2</f>
        <v>0.6041666667</v>
      </c>
      <c r="Q3" s="9">
        <f t="shared" si="2"/>
        <v>0.6694444444</v>
      </c>
      <c r="R3" s="7">
        <v>0.75</v>
      </c>
    </row>
    <row r="4">
      <c r="A4" s="2">
        <v>46025.0</v>
      </c>
      <c r="B4" s="3" t="s">
        <v>18</v>
      </c>
      <c r="C4" s="4">
        <f t="shared" si="3"/>
        <v>14</v>
      </c>
      <c r="D4" s="5">
        <v>1447.0</v>
      </c>
      <c r="E4" s="6" t="s">
        <v>20</v>
      </c>
      <c r="F4" s="7">
        <v>0.2590277777777778</v>
      </c>
      <c r="G4" s="7">
        <v>0.35</v>
      </c>
      <c r="H4" s="7">
        <v>0.5118055555555555</v>
      </c>
      <c r="I4" s="7">
        <v>0.5923611111111111</v>
      </c>
      <c r="J4" s="7">
        <v>0.6701388888888888</v>
      </c>
      <c r="K4" s="7">
        <v>0.7430555555555556</v>
      </c>
      <c r="L4" s="6">
        <f t="shared" ref="L4:M4" si="4">L3</f>
        <v>0.2916666667</v>
      </c>
      <c r="M4" s="9">
        <f t="shared" si="4"/>
        <v>0.5625</v>
      </c>
      <c r="N4" s="6" t="s">
        <v>20</v>
      </c>
      <c r="O4" s="6" t="s">
        <v>20</v>
      </c>
      <c r="P4" s="7">
        <v>0.6041666666666666</v>
      </c>
      <c r="Q4" s="9">
        <f t="shared" si="2"/>
        <v>0.6701388889</v>
      </c>
      <c r="R4" s="7">
        <v>0.75</v>
      </c>
    </row>
    <row r="5">
      <c r="A5" s="2">
        <v>46026.0</v>
      </c>
      <c r="B5" s="3" t="s">
        <v>18</v>
      </c>
      <c r="C5" s="4">
        <f t="shared" si="3"/>
        <v>15</v>
      </c>
      <c r="D5" s="5">
        <v>1447.0</v>
      </c>
      <c r="E5" s="6" t="s">
        <v>20</v>
      </c>
      <c r="F5" s="7">
        <v>0.2590277777777778</v>
      </c>
      <c r="G5" s="7">
        <v>0.34930555555555554</v>
      </c>
      <c r="H5" s="7">
        <v>0.5118055555555555</v>
      </c>
      <c r="I5" s="7">
        <v>0.5930555555555556</v>
      </c>
      <c r="J5" s="7">
        <v>0.6708333333333333</v>
      </c>
      <c r="K5" s="7">
        <v>0.74375</v>
      </c>
      <c r="L5" s="7">
        <v>0.3125</v>
      </c>
      <c r="M5" s="9">
        <f t="shared" ref="M5:M6" si="5">M4</f>
        <v>0.5625</v>
      </c>
      <c r="N5" s="6" t="s">
        <v>20</v>
      </c>
      <c r="O5" s="6" t="s">
        <v>20</v>
      </c>
      <c r="P5" s="7">
        <v>0.6041666666666666</v>
      </c>
      <c r="Q5" s="9">
        <f t="shared" si="2"/>
        <v>0.6708333333</v>
      </c>
      <c r="R5" s="7">
        <v>0.75</v>
      </c>
    </row>
    <row r="6">
      <c r="A6" s="2">
        <v>46027.0</v>
      </c>
      <c r="B6" s="3" t="s">
        <v>18</v>
      </c>
      <c r="C6" s="4">
        <f t="shared" si="3"/>
        <v>16</v>
      </c>
      <c r="D6" s="5">
        <v>1447.0</v>
      </c>
      <c r="E6" s="6" t="s">
        <v>20</v>
      </c>
      <c r="F6" s="7">
        <v>0.2590277777777778</v>
      </c>
      <c r="G6" s="7">
        <v>0.34930555555555554</v>
      </c>
      <c r="H6" s="7">
        <v>0.5125</v>
      </c>
      <c r="I6" s="7">
        <v>0.5944444444444444</v>
      </c>
      <c r="J6" s="7">
        <v>0.6715277777777777</v>
      </c>
      <c r="K6" s="7">
        <v>0.7444444444444445</v>
      </c>
      <c r="L6" s="7">
        <v>0.2916666666666667</v>
      </c>
      <c r="M6" s="9">
        <f t="shared" si="5"/>
        <v>0.5625</v>
      </c>
      <c r="N6" s="5" t="s">
        <v>20</v>
      </c>
      <c r="O6" s="6" t="s">
        <v>20</v>
      </c>
      <c r="P6" s="7">
        <v>0.6041666666666666</v>
      </c>
      <c r="Q6" s="9">
        <f t="shared" si="2"/>
        <v>0.6715277778</v>
      </c>
      <c r="R6" s="7">
        <v>0.8229166666666666</v>
      </c>
    </row>
    <row r="7">
      <c r="A7" s="2">
        <v>46028.0</v>
      </c>
      <c r="B7" s="3" t="s">
        <v>18</v>
      </c>
      <c r="C7" s="4">
        <f t="shared" si="3"/>
        <v>17</v>
      </c>
      <c r="D7" s="5">
        <v>1447.0</v>
      </c>
      <c r="E7" s="6" t="s">
        <v>20</v>
      </c>
      <c r="F7" s="7">
        <v>0.25833333333333336</v>
      </c>
      <c r="G7" s="7">
        <v>0.3486111111111111</v>
      </c>
      <c r="H7" s="7">
        <v>0.5125</v>
      </c>
      <c r="I7" s="7">
        <v>0.5951388888888889</v>
      </c>
      <c r="J7" s="7">
        <v>0.6729166666666666</v>
      </c>
      <c r="K7" s="7">
        <v>0.7451388888888889</v>
      </c>
      <c r="L7" s="7">
        <f t="shared" ref="L7:M7" si="6">L6</f>
        <v>0.2916666667</v>
      </c>
      <c r="M7" s="9">
        <f t="shared" si="6"/>
        <v>0.5625</v>
      </c>
      <c r="N7" s="3" t="s">
        <v>20</v>
      </c>
      <c r="O7" s="6" t="s">
        <v>20</v>
      </c>
      <c r="P7" s="7">
        <v>0.6041666666666666</v>
      </c>
      <c r="Q7" s="9">
        <f t="shared" si="2"/>
        <v>0.6729166667</v>
      </c>
      <c r="R7" s="7">
        <v>0.8229166666666666</v>
      </c>
    </row>
    <row r="8">
      <c r="A8" s="2">
        <v>46029.0</v>
      </c>
      <c r="B8" s="3" t="s">
        <v>18</v>
      </c>
      <c r="C8" s="4">
        <f t="shared" si="3"/>
        <v>18</v>
      </c>
      <c r="D8" s="5">
        <v>1447.0</v>
      </c>
      <c r="E8" s="6" t="s">
        <v>20</v>
      </c>
      <c r="F8" s="7">
        <v>0.25833333333333336</v>
      </c>
      <c r="G8" s="7">
        <v>0.3486111111111111</v>
      </c>
      <c r="H8" s="7">
        <v>0.5125</v>
      </c>
      <c r="I8" s="7">
        <v>0.5958333333333333</v>
      </c>
      <c r="J8" s="7">
        <v>0.673611111111111</v>
      </c>
      <c r="K8" s="7">
        <v>0.7458333333333333</v>
      </c>
      <c r="L8" s="7">
        <f t="shared" ref="L8:M8" si="7">L7</f>
        <v>0.2916666667</v>
      </c>
      <c r="M8" s="9">
        <f t="shared" si="7"/>
        <v>0.5625</v>
      </c>
      <c r="N8" s="6" t="s">
        <v>20</v>
      </c>
      <c r="O8" s="6" t="s">
        <v>20</v>
      </c>
      <c r="P8" s="7">
        <v>0.6041666666666666</v>
      </c>
      <c r="Q8" s="9">
        <f t="shared" si="2"/>
        <v>0.6736111111</v>
      </c>
      <c r="R8" s="7">
        <v>0.8229166666666666</v>
      </c>
    </row>
    <row r="9">
      <c r="A9" s="2">
        <v>46030.0</v>
      </c>
      <c r="B9" s="3" t="s">
        <v>18</v>
      </c>
      <c r="C9" s="4">
        <f t="shared" si="3"/>
        <v>19</v>
      </c>
      <c r="D9" s="5">
        <v>1447.0</v>
      </c>
      <c r="E9" s="6" t="s">
        <v>20</v>
      </c>
      <c r="F9" s="7">
        <v>0.25833333333333336</v>
      </c>
      <c r="G9" s="7">
        <v>0.34791666666666665</v>
      </c>
      <c r="H9" s="7">
        <v>0.5131944444444444</v>
      </c>
      <c r="I9" s="7">
        <v>0.5972222222222222</v>
      </c>
      <c r="J9" s="7">
        <v>0.6749999999999999</v>
      </c>
      <c r="K9" s="7">
        <v>0.7465277777777778</v>
      </c>
      <c r="L9" s="7">
        <f t="shared" ref="L9:M9" si="8">L8</f>
        <v>0.2916666667</v>
      </c>
      <c r="M9" s="9">
        <f t="shared" si="8"/>
        <v>0.5625</v>
      </c>
      <c r="N9" s="6" t="s">
        <v>20</v>
      </c>
      <c r="O9" s="6" t="s">
        <v>20</v>
      </c>
      <c r="P9" s="7">
        <v>0.6041666666666666</v>
      </c>
      <c r="Q9" s="9">
        <f t="shared" si="2"/>
        <v>0.675</v>
      </c>
      <c r="R9" s="7">
        <v>0.8229166666666666</v>
      </c>
    </row>
    <row r="10">
      <c r="A10" s="2">
        <v>46031.0</v>
      </c>
      <c r="B10" s="3" t="s">
        <v>18</v>
      </c>
      <c r="C10" s="4">
        <f t="shared" si="3"/>
        <v>20</v>
      </c>
      <c r="D10" s="5">
        <v>1447.0</v>
      </c>
      <c r="E10" s="6" t="s">
        <v>20</v>
      </c>
      <c r="F10" s="7">
        <v>0.25833333333333336</v>
      </c>
      <c r="G10" s="7">
        <v>0.34791666666666665</v>
      </c>
      <c r="H10" s="7">
        <v>0.5131944444444444</v>
      </c>
      <c r="I10" s="7">
        <v>0.5979166666666667</v>
      </c>
      <c r="J10" s="7">
        <v>0.6756944444444445</v>
      </c>
      <c r="K10" s="7">
        <v>0.7472222222222222</v>
      </c>
      <c r="L10" s="7">
        <f t="shared" ref="L10:M10" si="9">L9</f>
        <v>0.2916666667</v>
      </c>
      <c r="M10" s="9">
        <f t="shared" si="9"/>
        <v>0.5625</v>
      </c>
      <c r="N10" s="3">
        <v>0.5625</v>
      </c>
      <c r="O10" s="6" t="s">
        <v>20</v>
      </c>
      <c r="P10" s="7">
        <v>0.6041666666666666</v>
      </c>
      <c r="Q10" s="9">
        <f t="shared" si="2"/>
        <v>0.6756944444</v>
      </c>
      <c r="R10" s="7">
        <v>0.8229166666666666</v>
      </c>
    </row>
    <row r="11">
      <c r="A11" s="2">
        <v>46032.0</v>
      </c>
      <c r="B11" s="3" t="s">
        <v>18</v>
      </c>
      <c r="C11" s="4">
        <f t="shared" si="3"/>
        <v>21</v>
      </c>
      <c r="D11" s="5">
        <v>1447.0</v>
      </c>
      <c r="E11" s="6" t="s">
        <v>20</v>
      </c>
      <c r="F11" s="7">
        <v>0.25763888888888886</v>
      </c>
      <c r="G11" s="7">
        <v>0.3472222222222222</v>
      </c>
      <c r="H11" s="7">
        <v>0.5138888888888888</v>
      </c>
      <c r="I11" s="7">
        <v>0.5986111111111111</v>
      </c>
      <c r="J11" s="7">
        <v>0.6770833333333334</v>
      </c>
      <c r="K11" s="7">
        <v>0.7486111111111111</v>
      </c>
      <c r="L11" s="7">
        <f t="shared" ref="L11:M11" si="10">L10</f>
        <v>0.2916666667</v>
      </c>
      <c r="M11" s="9">
        <f t="shared" si="10"/>
        <v>0.5625</v>
      </c>
      <c r="N11" s="6" t="s">
        <v>20</v>
      </c>
      <c r="O11" s="6" t="s">
        <v>20</v>
      </c>
      <c r="P11" s="7">
        <v>0.6354166666666666</v>
      </c>
      <c r="Q11" s="9">
        <f t="shared" si="2"/>
        <v>0.6770833333</v>
      </c>
      <c r="R11" s="7">
        <v>0.7604166666666666</v>
      </c>
    </row>
    <row r="12">
      <c r="A12" s="2">
        <v>46033.0</v>
      </c>
      <c r="B12" s="3" t="s">
        <v>18</v>
      </c>
      <c r="C12" s="4">
        <f t="shared" si="3"/>
        <v>22</v>
      </c>
      <c r="D12" s="5">
        <v>1447.0</v>
      </c>
      <c r="E12" s="6" t="s">
        <v>20</v>
      </c>
      <c r="F12" s="7">
        <v>0.25763888888888886</v>
      </c>
      <c r="G12" s="7">
        <v>0.34652777777777777</v>
      </c>
      <c r="H12" s="7">
        <v>0.5138888888888888</v>
      </c>
      <c r="I12" s="7">
        <v>0.6</v>
      </c>
      <c r="J12" s="7">
        <v>0.6777777777777778</v>
      </c>
      <c r="K12" s="7">
        <v>0.7493055555555556</v>
      </c>
      <c r="L12" s="7">
        <v>0.3125</v>
      </c>
      <c r="M12" s="9">
        <f t="shared" ref="M12:M13" si="11">M11</f>
        <v>0.5625</v>
      </c>
      <c r="N12" s="6" t="s">
        <v>20</v>
      </c>
      <c r="O12" s="6" t="s">
        <v>20</v>
      </c>
      <c r="P12" s="7">
        <v>0.6354166666666666</v>
      </c>
      <c r="Q12" s="9">
        <f t="shared" si="2"/>
        <v>0.6777777778</v>
      </c>
      <c r="R12" s="7">
        <v>0.7604166666666666</v>
      </c>
    </row>
    <row r="13">
      <c r="A13" s="2">
        <v>46034.0</v>
      </c>
      <c r="B13" s="3" t="s">
        <v>18</v>
      </c>
      <c r="C13" s="4">
        <f t="shared" si="3"/>
        <v>23</v>
      </c>
      <c r="D13" s="5">
        <v>1447.0</v>
      </c>
      <c r="E13" s="6" t="s">
        <v>20</v>
      </c>
      <c r="F13" s="7">
        <v>0.2569444444444444</v>
      </c>
      <c r="G13" s="7">
        <v>0.34652777777777777</v>
      </c>
      <c r="H13" s="7">
        <v>0.5138888888888888</v>
      </c>
      <c r="I13" s="7">
        <v>0.6006944444444444</v>
      </c>
      <c r="J13" s="7">
        <v>0.6791666666666667</v>
      </c>
      <c r="K13" s="7">
        <v>0.75</v>
      </c>
      <c r="L13" s="7">
        <v>0.2916666666666667</v>
      </c>
      <c r="M13" s="9">
        <f t="shared" si="11"/>
        <v>0.5625</v>
      </c>
      <c r="N13" s="6" t="s">
        <v>20</v>
      </c>
      <c r="O13" s="6" t="s">
        <v>20</v>
      </c>
      <c r="P13" s="7">
        <v>0.6354166666666666</v>
      </c>
      <c r="Q13" s="9">
        <f t="shared" si="2"/>
        <v>0.6791666667</v>
      </c>
      <c r="R13" s="7">
        <v>0.8229166666666666</v>
      </c>
    </row>
    <row r="14">
      <c r="A14" s="2">
        <v>46035.0</v>
      </c>
      <c r="B14" s="3" t="s">
        <v>18</v>
      </c>
      <c r="C14" s="4">
        <f t="shared" si="3"/>
        <v>24</v>
      </c>
      <c r="D14" s="5">
        <v>1447.0</v>
      </c>
      <c r="E14" s="6" t="s">
        <v>20</v>
      </c>
      <c r="F14" s="7">
        <v>0.2569444444444444</v>
      </c>
      <c r="G14" s="7">
        <v>0.3458333333333333</v>
      </c>
      <c r="H14" s="7">
        <v>0.5145833333333333</v>
      </c>
      <c r="I14" s="7">
        <v>0.6020833333333333</v>
      </c>
      <c r="J14" s="7">
        <v>0.6798611111111111</v>
      </c>
      <c r="K14" s="7">
        <v>0.7506944444444444</v>
      </c>
      <c r="L14" s="7">
        <f t="shared" ref="L14:M14" si="12">L13</f>
        <v>0.2916666667</v>
      </c>
      <c r="M14" s="9">
        <f t="shared" si="12"/>
        <v>0.5625</v>
      </c>
      <c r="N14" s="6" t="s">
        <v>20</v>
      </c>
      <c r="O14" s="6" t="s">
        <v>20</v>
      </c>
      <c r="P14" s="7">
        <v>0.6354166666666666</v>
      </c>
      <c r="Q14" s="9">
        <f t="shared" si="2"/>
        <v>0.6798611111</v>
      </c>
      <c r="R14" s="7">
        <v>0.8229166666666666</v>
      </c>
    </row>
    <row r="15">
      <c r="A15" s="2">
        <v>46036.0</v>
      </c>
      <c r="B15" s="3" t="s">
        <v>18</v>
      </c>
      <c r="C15" s="4">
        <f t="shared" si="3"/>
        <v>25</v>
      </c>
      <c r="D15" s="5">
        <v>1447.0</v>
      </c>
      <c r="E15" s="6" t="s">
        <v>20</v>
      </c>
      <c r="F15" s="7">
        <v>0.25625</v>
      </c>
      <c r="G15" s="7">
        <v>0.3451388888888889</v>
      </c>
      <c r="H15" s="7">
        <v>0.5145833333333333</v>
      </c>
      <c r="I15" s="7">
        <v>0.6027777777777777</v>
      </c>
      <c r="J15" s="7">
        <v>0.68125</v>
      </c>
      <c r="K15" s="7">
        <v>0.7520833333333333</v>
      </c>
      <c r="L15" s="7">
        <f t="shared" ref="L15:M15" si="13">L14</f>
        <v>0.2916666667</v>
      </c>
      <c r="M15" s="9">
        <f t="shared" si="13"/>
        <v>0.5625</v>
      </c>
      <c r="N15" s="6" t="s">
        <v>20</v>
      </c>
      <c r="O15" s="6" t="s">
        <v>20</v>
      </c>
      <c r="P15" s="7">
        <v>0.6354166666666666</v>
      </c>
      <c r="Q15" s="9">
        <f t="shared" si="2"/>
        <v>0.68125</v>
      </c>
      <c r="R15" s="7">
        <v>0.8229166666666666</v>
      </c>
    </row>
    <row r="16">
      <c r="A16" s="2">
        <v>46037.0</v>
      </c>
      <c r="B16" s="3" t="s">
        <v>18</v>
      </c>
      <c r="C16" s="4">
        <f t="shared" si="3"/>
        <v>26</v>
      </c>
      <c r="D16" s="5">
        <v>1447.0</v>
      </c>
      <c r="E16" s="6" t="s">
        <v>20</v>
      </c>
      <c r="F16" s="7">
        <v>0.25625</v>
      </c>
      <c r="G16" s="7">
        <v>0.34444444444444444</v>
      </c>
      <c r="H16" s="7">
        <v>0.5152777777777777</v>
      </c>
      <c r="I16" s="7">
        <v>0.6041666666666666</v>
      </c>
      <c r="J16" s="7">
        <v>0.6826388888888889</v>
      </c>
      <c r="K16" s="7">
        <v>0.7527777777777778</v>
      </c>
      <c r="L16" s="7">
        <f t="shared" ref="L16:M16" si="14">L15</f>
        <v>0.2916666667</v>
      </c>
      <c r="M16" s="9">
        <f t="shared" si="14"/>
        <v>0.5625</v>
      </c>
      <c r="N16" s="6" t="s">
        <v>20</v>
      </c>
      <c r="O16" s="6" t="s">
        <v>20</v>
      </c>
      <c r="P16" s="7">
        <v>0.6354166666666666</v>
      </c>
      <c r="Q16" s="9">
        <f t="shared" si="2"/>
        <v>0.6826388889</v>
      </c>
      <c r="R16" s="7">
        <v>0.8229166666666666</v>
      </c>
    </row>
    <row r="17">
      <c r="A17" s="2">
        <v>46038.0</v>
      </c>
      <c r="B17" s="3" t="s">
        <v>18</v>
      </c>
      <c r="C17" s="4">
        <f t="shared" si="3"/>
        <v>27</v>
      </c>
      <c r="D17" s="5">
        <v>1447.0</v>
      </c>
      <c r="E17" s="6" t="s">
        <v>20</v>
      </c>
      <c r="F17" s="7">
        <v>0.25555555555555554</v>
      </c>
      <c r="G17" s="7">
        <v>0.34375</v>
      </c>
      <c r="H17" s="7">
        <v>0.5152777777777777</v>
      </c>
      <c r="I17" s="7">
        <v>0.6055555555555555</v>
      </c>
      <c r="J17" s="7">
        <v>0.6833333333333333</v>
      </c>
      <c r="K17" s="7">
        <v>0.7541666666666667</v>
      </c>
      <c r="L17" s="7">
        <f t="shared" ref="L17:M17" si="15">L16</f>
        <v>0.2916666667</v>
      </c>
      <c r="M17" s="9">
        <f t="shared" si="15"/>
        <v>0.5625</v>
      </c>
      <c r="N17" s="3">
        <v>0.5625</v>
      </c>
      <c r="O17" s="6" t="s">
        <v>20</v>
      </c>
      <c r="P17" s="7">
        <v>0.6354166666666666</v>
      </c>
      <c r="Q17" s="9">
        <f t="shared" si="2"/>
        <v>0.6833333333</v>
      </c>
      <c r="R17" s="7">
        <v>0.8229166666666666</v>
      </c>
    </row>
    <row r="18">
      <c r="A18" s="2">
        <v>46039.0</v>
      </c>
      <c r="B18" s="3" t="s">
        <v>18</v>
      </c>
      <c r="C18" s="4">
        <f t="shared" si="3"/>
        <v>28</v>
      </c>
      <c r="D18" s="5">
        <v>1447.0</v>
      </c>
      <c r="E18" s="6" t="s">
        <v>20</v>
      </c>
      <c r="F18" s="7">
        <v>0.2548611111111111</v>
      </c>
      <c r="G18" s="7">
        <v>0.34305555555555556</v>
      </c>
      <c r="H18" s="7">
        <v>0.5152777777777777</v>
      </c>
      <c r="I18" s="7">
        <v>0.60625</v>
      </c>
      <c r="J18" s="7">
        <v>0.6847222222222222</v>
      </c>
      <c r="K18" s="7">
        <v>0.7548611111111111</v>
      </c>
      <c r="L18" s="7">
        <f t="shared" ref="L18:M18" si="16">L17</f>
        <v>0.2916666667</v>
      </c>
      <c r="M18" s="9">
        <f t="shared" si="16"/>
        <v>0.5625</v>
      </c>
      <c r="N18" s="6" t="s">
        <v>20</v>
      </c>
      <c r="O18" s="6" t="s">
        <v>20</v>
      </c>
      <c r="P18" s="7">
        <v>0.6354166666666666</v>
      </c>
      <c r="Q18" s="9">
        <f t="shared" si="2"/>
        <v>0.6847222222</v>
      </c>
      <c r="R18" s="7">
        <v>0.7708333333333334</v>
      </c>
    </row>
    <row r="19">
      <c r="A19" s="2">
        <v>46040.0</v>
      </c>
      <c r="B19" s="3" t="s">
        <v>18</v>
      </c>
      <c r="C19" s="4">
        <f t="shared" si="3"/>
        <v>29</v>
      </c>
      <c r="D19" s="5">
        <v>1447.0</v>
      </c>
      <c r="E19" s="6" t="s">
        <v>20</v>
      </c>
      <c r="F19" s="7">
        <v>0.25416666666666665</v>
      </c>
      <c r="G19" s="7">
        <v>0.3423611111111111</v>
      </c>
      <c r="H19" s="7">
        <v>0.5159722222222222</v>
      </c>
      <c r="I19" s="7">
        <v>0.6076388888888888</v>
      </c>
      <c r="J19" s="7">
        <v>0.6861111111111111</v>
      </c>
      <c r="K19" s="7">
        <v>0.7555555555555555</v>
      </c>
      <c r="L19" s="7">
        <v>0.3125</v>
      </c>
      <c r="M19" s="9">
        <f t="shared" ref="M19:M20" si="17">M18</f>
        <v>0.5625</v>
      </c>
      <c r="N19" s="6" t="s">
        <v>20</v>
      </c>
      <c r="O19" s="6" t="s">
        <v>20</v>
      </c>
      <c r="P19" s="7">
        <v>0.6354166666666666</v>
      </c>
      <c r="Q19" s="9">
        <f t="shared" si="2"/>
        <v>0.6861111111</v>
      </c>
      <c r="R19" s="7">
        <v>0.7708333333333334</v>
      </c>
    </row>
    <row r="20">
      <c r="A20" s="2">
        <v>46041.0</v>
      </c>
      <c r="B20" s="3" t="s">
        <v>18</v>
      </c>
      <c r="C20" s="4">
        <f t="shared" si="3"/>
        <v>30</v>
      </c>
      <c r="D20" s="5">
        <v>1447.0</v>
      </c>
      <c r="E20" s="6" t="s">
        <v>20</v>
      </c>
      <c r="F20" s="7">
        <v>0.25416666666666665</v>
      </c>
      <c r="G20" s="7">
        <v>0.3416666666666667</v>
      </c>
      <c r="H20" s="7">
        <v>0.5159722222222222</v>
      </c>
      <c r="I20" s="7">
        <v>0.6083333333333333</v>
      </c>
      <c r="J20" s="7">
        <v>0.6875</v>
      </c>
      <c r="K20" s="7">
        <v>0.7569444444444444</v>
      </c>
      <c r="L20" s="7">
        <v>0.2916666666666667</v>
      </c>
      <c r="M20" s="9">
        <f t="shared" si="17"/>
        <v>0.5625</v>
      </c>
      <c r="N20" s="6" t="s">
        <v>20</v>
      </c>
      <c r="O20" s="6" t="s">
        <v>20</v>
      </c>
      <c r="P20" s="7">
        <v>0.6354166666666666</v>
      </c>
      <c r="Q20" s="9">
        <f t="shared" si="2"/>
        <v>0.6875</v>
      </c>
      <c r="R20" s="7">
        <v>0.8229166666666666</v>
      </c>
    </row>
    <row r="21">
      <c r="A21" s="2">
        <v>46042.0</v>
      </c>
      <c r="B21" s="3" t="s">
        <v>21</v>
      </c>
      <c r="C21" s="4" t="s">
        <v>22</v>
      </c>
      <c r="D21" s="5">
        <v>1447.0</v>
      </c>
      <c r="E21" s="6" t="s">
        <v>20</v>
      </c>
      <c r="F21" s="7">
        <v>0.2534722222222222</v>
      </c>
      <c r="G21" s="7">
        <v>0.3402777777777778</v>
      </c>
      <c r="H21" s="7">
        <v>0.5159722222222222</v>
      </c>
      <c r="I21" s="7">
        <v>0.6097222222222223</v>
      </c>
      <c r="J21" s="7">
        <v>0.6881944444444444</v>
      </c>
      <c r="K21" s="7">
        <v>0.7576388888888889</v>
      </c>
      <c r="L21" s="7">
        <f t="shared" ref="L21:M21" si="18">L20</f>
        <v>0.2916666667</v>
      </c>
      <c r="M21" s="9">
        <f t="shared" si="18"/>
        <v>0.5625</v>
      </c>
      <c r="N21" s="6" t="s">
        <v>20</v>
      </c>
      <c r="O21" s="6" t="s">
        <v>20</v>
      </c>
      <c r="P21" s="7">
        <v>0.6354166666666666</v>
      </c>
      <c r="Q21" s="9">
        <f t="shared" si="2"/>
        <v>0.6881944444</v>
      </c>
      <c r="R21" s="7">
        <v>0.8229166666666666</v>
      </c>
    </row>
    <row r="22">
      <c r="A22" s="2">
        <v>46043.0</v>
      </c>
      <c r="B22" s="3" t="s">
        <v>21</v>
      </c>
      <c r="C22" s="10">
        <f t="shared" ref="C22:C32" si="20">C21+1</f>
        <v>2</v>
      </c>
      <c r="D22" s="5">
        <v>1447.0</v>
      </c>
      <c r="E22" s="6" t="s">
        <v>20</v>
      </c>
      <c r="F22" s="7">
        <v>0.25277777777777777</v>
      </c>
      <c r="G22" s="7">
        <v>0.33958333333333335</v>
      </c>
      <c r="H22" s="7">
        <v>0.5159722222222222</v>
      </c>
      <c r="I22" s="7">
        <v>0.6111111111111112</v>
      </c>
      <c r="J22" s="7">
        <v>0.6895833333333333</v>
      </c>
      <c r="K22" s="7">
        <v>0.7590277777777777</v>
      </c>
      <c r="L22" s="7">
        <f t="shared" ref="L22:M22" si="19">L21</f>
        <v>0.2916666667</v>
      </c>
      <c r="M22" s="9">
        <f t="shared" si="19"/>
        <v>0.5625</v>
      </c>
      <c r="N22" s="6" t="s">
        <v>20</v>
      </c>
      <c r="O22" s="6" t="s">
        <v>20</v>
      </c>
      <c r="P22" s="7">
        <v>0.6354166666666666</v>
      </c>
      <c r="Q22" s="9">
        <f t="shared" si="2"/>
        <v>0.6895833333</v>
      </c>
      <c r="R22" s="7">
        <v>0.8229166666666666</v>
      </c>
    </row>
    <row r="23">
      <c r="A23" s="2">
        <v>46044.0</v>
      </c>
      <c r="B23" s="3" t="s">
        <v>21</v>
      </c>
      <c r="C23" s="10">
        <f t="shared" si="20"/>
        <v>3</v>
      </c>
      <c r="D23" s="5">
        <v>1447.0</v>
      </c>
      <c r="E23" s="6" t="s">
        <v>20</v>
      </c>
      <c r="F23" s="7">
        <v>0.2520833333333333</v>
      </c>
      <c r="G23" s="7">
        <v>0.3388888888888889</v>
      </c>
      <c r="H23" s="7">
        <v>0.5166666666666666</v>
      </c>
      <c r="I23" s="7">
        <v>0.6125</v>
      </c>
      <c r="J23" s="7">
        <v>0.6909722222222222</v>
      </c>
      <c r="K23" s="7">
        <v>0.7597222222222222</v>
      </c>
      <c r="L23" s="7">
        <f t="shared" ref="L23:M23" si="21">L22</f>
        <v>0.2916666667</v>
      </c>
      <c r="M23" s="9">
        <f t="shared" si="21"/>
        <v>0.5625</v>
      </c>
      <c r="N23" s="6" t="s">
        <v>20</v>
      </c>
      <c r="O23" s="6" t="s">
        <v>20</v>
      </c>
      <c r="P23" s="7">
        <v>0.6354166666666666</v>
      </c>
      <c r="Q23" s="9">
        <f t="shared" si="2"/>
        <v>0.6909722222</v>
      </c>
      <c r="R23" s="7">
        <v>0.8229166666666666</v>
      </c>
    </row>
    <row r="24">
      <c r="A24" s="2">
        <v>46045.0</v>
      </c>
      <c r="B24" s="3" t="s">
        <v>21</v>
      </c>
      <c r="C24" s="10">
        <f t="shared" si="20"/>
        <v>4</v>
      </c>
      <c r="D24" s="5">
        <v>1447.0</v>
      </c>
      <c r="E24" s="6" t="s">
        <v>20</v>
      </c>
      <c r="F24" s="7">
        <v>0.2513888888888889</v>
      </c>
      <c r="G24" s="7">
        <v>0.33819444444444446</v>
      </c>
      <c r="H24" s="7">
        <v>0.5166666666666666</v>
      </c>
      <c r="I24" s="7">
        <v>0.6131944444444445</v>
      </c>
      <c r="J24" s="7">
        <v>0.6923611111111111</v>
      </c>
      <c r="K24" s="7">
        <v>0.7611111111111111</v>
      </c>
      <c r="L24" s="7">
        <f t="shared" ref="L24:M24" si="22">L23</f>
        <v>0.2916666667</v>
      </c>
      <c r="M24" s="9">
        <f t="shared" si="22"/>
        <v>0.5625</v>
      </c>
      <c r="N24" s="3">
        <v>0.5625</v>
      </c>
      <c r="O24" s="6" t="s">
        <v>20</v>
      </c>
      <c r="P24" s="7">
        <v>0.6354166666666666</v>
      </c>
      <c r="Q24" s="9">
        <f t="shared" si="2"/>
        <v>0.6923611111</v>
      </c>
      <c r="R24" s="7">
        <v>0.8229166666666666</v>
      </c>
    </row>
    <row r="25">
      <c r="A25" s="2">
        <v>46046.0</v>
      </c>
      <c r="B25" s="3" t="s">
        <v>21</v>
      </c>
      <c r="C25" s="10">
        <f t="shared" si="20"/>
        <v>5</v>
      </c>
      <c r="D25" s="5">
        <v>1447.0</v>
      </c>
      <c r="E25" s="6" t="s">
        <v>20</v>
      </c>
      <c r="F25" s="7">
        <v>0.25069444444444444</v>
      </c>
      <c r="G25" s="7">
        <v>0.3368055555555556</v>
      </c>
      <c r="H25" s="7">
        <v>0.5166666666666666</v>
      </c>
      <c r="I25" s="7">
        <v>0.6145833333333334</v>
      </c>
      <c r="J25" s="7">
        <v>0.69375</v>
      </c>
      <c r="K25" s="7">
        <v>0.7618055555555555</v>
      </c>
      <c r="L25" s="7">
        <f t="shared" ref="L25:M25" si="23">L24</f>
        <v>0.2916666667</v>
      </c>
      <c r="M25" s="9">
        <f t="shared" si="23"/>
        <v>0.5625</v>
      </c>
      <c r="N25" s="6" t="s">
        <v>20</v>
      </c>
      <c r="O25" s="6" t="s">
        <v>20</v>
      </c>
      <c r="P25" s="7">
        <v>0.6458333333333334</v>
      </c>
      <c r="Q25" s="9">
        <f t="shared" si="2"/>
        <v>0.69375</v>
      </c>
      <c r="R25" s="7">
        <v>0.7708333333333334</v>
      </c>
    </row>
    <row r="26">
      <c r="A26" s="2">
        <v>46047.0</v>
      </c>
      <c r="B26" s="3" t="s">
        <v>21</v>
      </c>
      <c r="C26" s="10">
        <f t="shared" si="20"/>
        <v>6</v>
      </c>
      <c r="D26" s="5">
        <v>1447.0</v>
      </c>
      <c r="E26" s="6" t="s">
        <v>20</v>
      </c>
      <c r="F26" s="7">
        <v>0.25</v>
      </c>
      <c r="G26" s="7">
        <v>0.33611111111111114</v>
      </c>
      <c r="H26" s="7">
        <v>0.5166666666666666</v>
      </c>
      <c r="I26" s="7">
        <v>0.6159722222222223</v>
      </c>
      <c r="J26" s="7">
        <v>0.6951388888888889</v>
      </c>
      <c r="K26" s="7">
        <v>0.7631944444444444</v>
      </c>
      <c r="L26" s="7">
        <v>0.3125</v>
      </c>
      <c r="M26" s="9">
        <f t="shared" ref="M26:M27" si="24">M25</f>
        <v>0.5625</v>
      </c>
      <c r="N26" s="6" t="s">
        <v>20</v>
      </c>
      <c r="O26" s="6" t="s">
        <v>20</v>
      </c>
      <c r="P26" s="7">
        <v>0.6458333333333334</v>
      </c>
      <c r="Q26" s="9">
        <f t="shared" si="2"/>
        <v>0.6951388889</v>
      </c>
      <c r="R26" s="7">
        <v>0.7708333333333334</v>
      </c>
    </row>
    <row r="27">
      <c r="A27" s="2">
        <v>46048.0</v>
      </c>
      <c r="B27" s="3" t="s">
        <v>21</v>
      </c>
      <c r="C27" s="10">
        <f t="shared" si="20"/>
        <v>7</v>
      </c>
      <c r="D27" s="5">
        <v>1447.0</v>
      </c>
      <c r="E27" s="6" t="s">
        <v>20</v>
      </c>
      <c r="F27" s="7">
        <v>0.24930555555555556</v>
      </c>
      <c r="G27" s="7">
        <v>0.3347222222222222</v>
      </c>
      <c r="H27" s="7">
        <v>0.517361111111111</v>
      </c>
      <c r="I27" s="7">
        <v>0.6173611111111111</v>
      </c>
      <c r="J27" s="7">
        <v>0.6965277777777777</v>
      </c>
      <c r="K27" s="7">
        <v>0.7645833333333333</v>
      </c>
      <c r="L27" s="7">
        <v>0.2916666666666667</v>
      </c>
      <c r="M27" s="9">
        <f t="shared" si="24"/>
        <v>0.5625</v>
      </c>
      <c r="N27" s="6" t="s">
        <v>20</v>
      </c>
      <c r="O27" s="6" t="s">
        <v>20</v>
      </c>
      <c r="P27" s="7">
        <v>0.6458333333333334</v>
      </c>
      <c r="Q27" s="9">
        <f t="shared" si="2"/>
        <v>0.6965277778</v>
      </c>
      <c r="R27" s="7">
        <v>0.8229166666666666</v>
      </c>
    </row>
    <row r="28">
      <c r="A28" s="2">
        <v>46049.0</v>
      </c>
      <c r="B28" s="3" t="s">
        <v>21</v>
      </c>
      <c r="C28" s="10">
        <f t="shared" si="20"/>
        <v>8</v>
      </c>
      <c r="D28" s="5">
        <v>1447.0</v>
      </c>
      <c r="E28" s="6" t="s">
        <v>20</v>
      </c>
      <c r="F28" s="7">
        <v>0.24861111111111112</v>
      </c>
      <c r="G28" s="7">
        <v>0.33402777777777776</v>
      </c>
      <c r="H28" s="7">
        <v>0.517361111111111</v>
      </c>
      <c r="I28" s="7">
        <v>0.6180555555555556</v>
      </c>
      <c r="J28" s="7">
        <v>0.6972222222222222</v>
      </c>
      <c r="K28" s="7">
        <v>0.7652777777777777</v>
      </c>
      <c r="L28" s="7">
        <f t="shared" ref="L28:M28" si="25">L27</f>
        <v>0.2916666667</v>
      </c>
      <c r="M28" s="9">
        <f t="shared" si="25"/>
        <v>0.5625</v>
      </c>
      <c r="N28" s="6" t="s">
        <v>20</v>
      </c>
      <c r="O28" s="6" t="s">
        <v>20</v>
      </c>
      <c r="P28" s="7">
        <v>0.6458333333333334</v>
      </c>
      <c r="Q28" s="9">
        <f t="shared" si="2"/>
        <v>0.6972222222</v>
      </c>
      <c r="R28" s="7">
        <v>0.8229166666666666</v>
      </c>
    </row>
    <row r="29">
      <c r="A29" s="2">
        <v>46050.0</v>
      </c>
      <c r="B29" s="3" t="s">
        <v>21</v>
      </c>
      <c r="C29" s="10">
        <f t="shared" si="20"/>
        <v>9</v>
      </c>
      <c r="D29" s="5">
        <v>1447.0</v>
      </c>
      <c r="E29" s="6" t="s">
        <v>20</v>
      </c>
      <c r="F29" s="7">
        <v>0.24722222222222223</v>
      </c>
      <c r="G29" s="7">
        <v>0.3326388888888889</v>
      </c>
      <c r="H29" s="7">
        <v>0.517361111111111</v>
      </c>
      <c r="I29" s="7">
        <v>0.6194444444444445</v>
      </c>
      <c r="J29" s="7">
        <v>0.6986111111111111</v>
      </c>
      <c r="K29" s="7">
        <v>0.7666666666666667</v>
      </c>
      <c r="L29" s="7">
        <f t="shared" ref="L29:M29" si="26">L28</f>
        <v>0.2916666667</v>
      </c>
      <c r="M29" s="9">
        <f t="shared" si="26"/>
        <v>0.5625</v>
      </c>
      <c r="N29" s="6" t="s">
        <v>20</v>
      </c>
      <c r="O29" s="6" t="s">
        <v>20</v>
      </c>
      <c r="P29" s="7">
        <v>0.6458333333333334</v>
      </c>
      <c r="Q29" s="9">
        <f t="shared" si="2"/>
        <v>0.6986111111</v>
      </c>
      <c r="R29" s="7">
        <v>0.8229166666666666</v>
      </c>
    </row>
    <row r="30">
      <c r="A30" s="2">
        <v>46051.0</v>
      </c>
      <c r="B30" s="3" t="s">
        <v>21</v>
      </c>
      <c r="C30" s="10">
        <f t="shared" si="20"/>
        <v>10</v>
      </c>
      <c r="D30" s="5">
        <v>1447.0</v>
      </c>
      <c r="E30" s="6" t="s">
        <v>20</v>
      </c>
      <c r="F30" s="7">
        <v>0.2465277777777778</v>
      </c>
      <c r="G30" s="7">
        <v>0.33194444444444443</v>
      </c>
      <c r="H30" s="7">
        <v>0.517361111111111</v>
      </c>
      <c r="I30" s="7">
        <v>0.6208333333333333</v>
      </c>
      <c r="J30" s="7">
        <v>0.7</v>
      </c>
      <c r="K30" s="7">
        <v>0.7680555555555556</v>
      </c>
      <c r="L30" s="7">
        <f t="shared" ref="L30:M30" si="27">L29</f>
        <v>0.2916666667</v>
      </c>
      <c r="M30" s="9">
        <f t="shared" si="27"/>
        <v>0.5625</v>
      </c>
      <c r="N30" s="6" t="s">
        <v>20</v>
      </c>
      <c r="O30" s="6" t="s">
        <v>20</v>
      </c>
      <c r="P30" s="7">
        <v>0.6458333333333334</v>
      </c>
      <c r="Q30" s="9">
        <f t="shared" si="2"/>
        <v>0.7</v>
      </c>
      <c r="R30" s="7">
        <v>0.8229166666666666</v>
      </c>
    </row>
    <row r="31">
      <c r="A31" s="2">
        <v>46052.0</v>
      </c>
      <c r="B31" s="3" t="s">
        <v>21</v>
      </c>
      <c r="C31" s="10">
        <f t="shared" si="20"/>
        <v>11</v>
      </c>
      <c r="D31" s="5">
        <v>1447.0</v>
      </c>
      <c r="E31" s="6" t="s">
        <v>20</v>
      </c>
      <c r="F31" s="7">
        <v>0.24583333333333332</v>
      </c>
      <c r="G31" s="7">
        <v>0.33055555555555555</v>
      </c>
      <c r="H31" s="7">
        <v>0.517361111111111</v>
      </c>
      <c r="I31" s="7">
        <v>0.6222222222222222</v>
      </c>
      <c r="J31" s="7">
        <v>0.7013888888888888</v>
      </c>
      <c r="K31" s="7">
        <v>0.76875</v>
      </c>
      <c r="L31" s="7">
        <f t="shared" ref="L31:M31" si="28">L30</f>
        <v>0.2916666667</v>
      </c>
      <c r="M31" s="9">
        <f t="shared" si="28"/>
        <v>0.5625</v>
      </c>
      <c r="N31" s="3">
        <v>0.5625</v>
      </c>
      <c r="O31" s="6" t="s">
        <v>20</v>
      </c>
      <c r="P31" s="7">
        <v>0.6458333333333334</v>
      </c>
      <c r="Q31" s="9">
        <f t="shared" si="2"/>
        <v>0.7013888889</v>
      </c>
      <c r="R31" s="7">
        <v>0.8229166666666666</v>
      </c>
    </row>
    <row r="32">
      <c r="A32" s="2">
        <v>46053.0</v>
      </c>
      <c r="B32" s="3" t="s">
        <v>21</v>
      </c>
      <c r="C32" s="10">
        <f t="shared" si="20"/>
        <v>12</v>
      </c>
      <c r="D32" s="5">
        <v>1447.0</v>
      </c>
      <c r="E32" s="6" t="s">
        <v>20</v>
      </c>
      <c r="F32" s="7">
        <v>0.24513888888888888</v>
      </c>
      <c r="G32" s="7">
        <v>0.3298611111111111</v>
      </c>
      <c r="H32" s="7">
        <v>0.5180555555555555</v>
      </c>
      <c r="I32" s="7">
        <v>0.6236111111111111</v>
      </c>
      <c r="J32" s="7">
        <v>0.7027777777777777</v>
      </c>
      <c r="K32" s="7">
        <v>0.7701388888888889</v>
      </c>
      <c r="L32" s="7">
        <f t="shared" ref="L32:M32" si="29">L31</f>
        <v>0.2916666667</v>
      </c>
      <c r="M32" s="9">
        <f t="shared" si="29"/>
        <v>0.5625</v>
      </c>
      <c r="N32" s="6" t="s">
        <v>20</v>
      </c>
      <c r="O32" s="6" t="s">
        <v>20</v>
      </c>
      <c r="P32" s="7">
        <v>0.65625</v>
      </c>
      <c r="Q32" s="9">
        <f t="shared" si="2"/>
        <v>0.7027777778</v>
      </c>
      <c r="R32" s="7">
        <v>0.7916666666666666</v>
      </c>
    </row>
  </sheetData>
  <conditionalFormatting sqref="A2:A32">
    <cfRule type="expression" dxfId="0" priority="1">
      <formula>WEEKDAY(A1)=5</formula>
    </cfRule>
  </conditionalFormatting>
  <conditionalFormatting sqref="A2:A32">
    <cfRule type="expression" dxfId="1" priority="2">
      <formula>WEEKDAY(A1)=6</formula>
    </cfRule>
  </conditionalFormatting>
  <drawing r:id="rId1"/>
</worksheet>
</file>